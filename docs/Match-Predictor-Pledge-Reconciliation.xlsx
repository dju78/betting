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Pledge Log" sheetId="2" state="visible" r:id="rId4"/>
    <sheet name="Cash Count" sheetId="3" state="visible" r:id="rId5"/>
    <sheet name="Reconciliation" sheetId="4" state="visible" r:id="rId6"/>
    <sheet name="Remitt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<sst xmlns="http://schemas.openxmlformats.org/spreadsheetml/2006/main" count="127" uniqueCount="120">
  <si>
    <t xml:space="preserve">Match Predictor: pledge and cash reconciliation</t>
  </si>
  <si>
    <t xml:space="preserve">Aldanat Care FC charity match, Supported Living v Residential, 26 August, in aid of Cardiac Risk in the Young.</t>
  </si>
  <si>
    <t xml:space="preserve">How to use this workbook</t>
  </si>
  <si>
    <t xml:space="preserve">1</t>
  </si>
  <si>
    <t xml:space="preserve">Record every pledge on the Pledge Log tab as it is taken, not from memory at the end of the day.</t>
  </si>
  <si>
    <t xml:space="preserve">2</t>
  </si>
  <si>
    <t xml:space="preserve">Count the cash on the Cash Count tab with two people present. Enter quantities only, the values calculate.</t>
  </si>
  <si>
    <t xml:space="preserve">3</t>
  </si>
  <si>
    <t xml:space="preserve">Check the Reconciliation tab. Every check must read OK before the money leaves the ground.</t>
  </si>
  <si>
    <t xml:space="preserve">4</t>
  </si>
  <si>
    <t xml:space="preserve">Complete the Remittance tab when the money is sent to CRY and file it with the paying in slip.</t>
  </si>
  <si>
    <t xml:space="preserve">Cell colours</t>
  </si>
  <si>
    <t xml:space="preserve">Yellow fill</t>
  </si>
  <si>
    <t xml:space="preserve">You type in these cells.</t>
  </si>
  <si>
    <t xml:space="preserve">Black text</t>
  </si>
  <si>
    <t xml:space="preserve">Calculated. Do not overwrite.</t>
  </si>
  <si>
    <t xml:space="preserve">Green text</t>
  </si>
  <si>
    <t xml:space="preserve">Pulled from another tab in this workbook.</t>
  </si>
  <si>
    <t xml:space="preserve">Example row, showing the expected format on the Pledge Log tab</t>
  </si>
  <si>
    <t xml:space="preserve">Name</t>
  </si>
  <si>
    <t xml:space="preserve">Service</t>
  </si>
  <si>
    <t xml:space="preserve">Prediction</t>
  </si>
  <si>
    <t xml:space="preserve">Pledge £</t>
  </si>
  <si>
    <t xml:space="preserve">Received £</t>
  </si>
  <si>
    <t xml:space="preserve">Method</t>
  </si>
  <si>
    <t xml:space="preserve">Sam Okoye</t>
  </si>
  <si>
    <t xml:space="preserve">Supported Living</t>
  </si>
  <si>
    <t xml:space="preserve">3-1</t>
  </si>
  <si>
    <t xml:space="preserve">Cash</t>
  </si>
  <si>
    <t xml:space="preserve">Prepared for the organiser named on the Remittance tab. Amounts are as pledged by staff and visitors on the day, no other source.</t>
  </si>
  <si>
    <t xml:space="preserve">Pledge Log</t>
  </si>
  <si>
    <t xml:space="preserve">One line per person. Enter the yellow cells only. Outstanding calculates itself.</t>
  </si>
  <si>
    <t xml:space="preserve">No</t>
  </si>
  <si>
    <t xml:space="preserve">Outstanding £</t>
  </si>
  <si>
    <t xml:space="preserve">Collected by</t>
  </si>
  <si>
    <t xml:space="preserve">Gift Aid</t>
  </si>
  <si>
    <t xml:space="preserve">Notes</t>
  </si>
  <si>
    <t xml:space="preserve">Totals</t>
  </si>
  <si>
    <t xml:space="preserve">Entries</t>
  </si>
  <si>
    <t xml:space="preserve">Cash received</t>
  </si>
  <si>
    <t xml:space="preserve">Card received</t>
  </si>
  <si>
    <t xml:space="preserve">Transfer received</t>
  </si>
  <si>
    <t xml:space="preserve">CRY page received</t>
  </si>
  <si>
    <t xml:space="preserve">Gift Aid eligible</t>
  </si>
  <si>
    <t xml:space="preserve">Method must be typed as Cash, Card, Transfer or CRY page for the splits above to pick it up. Gift Aid is Y only where a declaration with name and home address has been signed.</t>
  </si>
  <si>
    <t xml:space="preserve">Cash Count</t>
  </si>
  <si>
    <t xml:space="preserve">Count with two people present. Enter quantities in the yellow column only.</t>
  </si>
  <si>
    <t xml:space="preserve">Denomination</t>
  </si>
  <si>
    <t xml:space="preserve">Quantity</t>
  </si>
  <si>
    <t xml:space="preserve">Value £</t>
  </si>
  <si>
    <t xml:space="preserve">£50 note</t>
  </si>
  <si>
    <t xml:space="preserve">£20 note</t>
  </si>
  <si>
    <t xml:space="preserve">£10 note</t>
  </si>
  <si>
    <t xml:space="preserve">£5 note</t>
  </si>
  <si>
    <t xml:space="preserve">£2 coin</t>
  </si>
  <si>
    <t xml:space="preserve">£1 coin</t>
  </si>
  <si>
    <t xml:space="preserve">50p</t>
  </si>
  <si>
    <t xml:space="preserve">20p</t>
  </si>
  <si>
    <t xml:space="preserve">10p</t>
  </si>
  <si>
    <t xml:space="preserve">5p</t>
  </si>
  <si>
    <t xml:space="preserve">2p</t>
  </si>
  <si>
    <t xml:space="preserve">1p</t>
  </si>
  <si>
    <t xml:space="preserve">Total cash counted</t>
  </si>
  <si>
    <t xml:space="preserve">Counted by</t>
  </si>
  <si>
    <t xml:space="preserve">Witnessed by</t>
  </si>
  <si>
    <t xml:space="preserve">Date and time of count</t>
  </si>
  <si>
    <t xml:space="preserve">Both signatories confirm the cash was counted in each other's presence and agrees to the figure above.</t>
  </si>
  <si>
    <t xml:space="preserve">Reconciliation</t>
  </si>
  <si>
    <t xml:space="preserve">Every check must read OK before the money leaves the ground.</t>
  </si>
  <si>
    <t xml:space="preserve">Item</t>
  </si>
  <si>
    <t xml:space="preserve">Amount £</t>
  </si>
  <si>
    <t xml:space="preserve">Check</t>
  </si>
  <si>
    <t xml:space="preserve">Action if not OK</t>
  </si>
  <si>
    <t xml:space="preserve">Total pledged on the Pledge Log</t>
  </si>
  <si>
    <t xml:space="preserve">Total recorded as received, all routes</t>
  </si>
  <si>
    <t xml:space="preserve">Outstanding pledges still to collect</t>
  </si>
  <si>
    <t xml:space="preserve">Cash recorded as received</t>
  </si>
  <si>
    <t xml:space="preserve">Cash physically counted</t>
  </si>
  <si>
    <t xml:space="preserve">Recount. If it still differs, write up the difference and report to the manager the same day.</t>
  </si>
  <si>
    <t xml:space="preserve">Card recorded as received</t>
  </si>
  <si>
    <t xml:space="preserve">Card terminal settlement total</t>
  </si>
  <si>
    <t xml:space="preserve">Match each card receipt to a log line. A missing line means an unrecorded pledge.</t>
  </si>
  <si>
    <t xml:space="preserve">Transfers recorded as received</t>
  </si>
  <si>
    <t xml:space="preserve">Transfers confirmed on the bank statement</t>
  </si>
  <si>
    <t xml:space="preserve">Chase the transfer or correct the log.</t>
  </si>
  <si>
    <t xml:space="preserve">CRY page donations recorded on the log</t>
  </si>
  <si>
    <t xml:space="preserve">CRY page donations confirmed on the CRY dashboard</t>
  </si>
  <si>
    <t xml:space="preserve">These go straight to CRY and never enter our tin. Confirm from the CRY page, not from the log.</t>
  </si>
  <si>
    <t xml:space="preserve">Funds held by us, cash plus card plus transfers</t>
  </si>
  <si>
    <t xml:space="preserve">Funds held must equal the amount received less the donations made direct on the CRY page.</t>
  </si>
  <si>
    <t xml:space="preserve">Amount banked or transferred out</t>
  </si>
  <si>
    <t xml:space="preserve">Nothing may be netted off. Costs are met separately by the club.</t>
  </si>
  <si>
    <t xml:space="preserve">Amount remitted to Cardiac Risk in the Young</t>
  </si>
  <si>
    <t xml:space="preserve">The gross amount held is remitted in full.</t>
  </si>
  <si>
    <t xml:space="preserve">TOTAL RAISED FOR CRY, remitted plus direct donations</t>
  </si>
  <si>
    <t xml:space="preserve">This is the figure reported to staff, to CRY and in the fundraising log.</t>
  </si>
  <si>
    <t xml:space="preserve">Gift Aid eligible donations, for information only</t>
  </si>
  <si>
    <t xml:space="preserve">Declarations with name and home address must be held for each one.</t>
  </si>
  <si>
    <t xml:space="preserve">Prepared by</t>
  </si>
  <si>
    <t xml:space="preserve">Reviewed by</t>
  </si>
  <si>
    <t xml:space="preserve">Date</t>
  </si>
  <si>
    <t xml:space="preserve">Remittance to Cardiac Risk in the Young</t>
  </si>
  <si>
    <t xml:space="preserve">Complete when the money is sent. File with the paying in slip and the CRY acknowledgement.</t>
  </si>
  <si>
    <t xml:space="preserve">Event</t>
  </si>
  <si>
    <t xml:space="preserve">Aldanat Care FC charity match, Supported Living v Residential</t>
  </si>
  <si>
    <t xml:space="preserve">Event date</t>
  </si>
  <si>
    <t xml:space="preserve">26 August</t>
  </si>
  <si>
    <t xml:space="preserve">Beneficiary</t>
  </si>
  <si>
    <t xml:space="preserve">Cardiac Risk in the Young</t>
  </si>
  <si>
    <t xml:space="preserve">CRY registered charity number</t>
  </si>
  <si>
    <t xml:space="preserve">[insert from CRY fundraising pack]</t>
  </si>
  <si>
    <t xml:space="preserve">Amount remitted £</t>
  </si>
  <si>
    <t xml:space="preserve">Method, transfer or online page</t>
  </si>
  <si>
    <t xml:space="preserve">Payment reference</t>
  </si>
  <si>
    <t xml:space="preserve">Date sent</t>
  </si>
  <si>
    <t xml:space="preserve">Acknowledgement received, date</t>
  </si>
  <si>
    <t xml:space="preserve">Sent by, name and signature</t>
  </si>
  <si>
    <t xml:space="preserve">Approved by, name and signature</t>
  </si>
  <si>
    <t xml:space="preserve">The amount remitted must equal the gross amount collected. No costs are deducted.</t>
  </si>
  <si>
    <t xml:space="preserve">Retain this record, the count sheet, the paying in slip and the CRY acknowledgement for six years.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</si>
</sst>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E5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B2E52"/>
      <name val="Arial"/>
      <family val="0"/>
      <charset val="1"/>
    </font>
    <font>
      <sz val="1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B2E52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E52"/>
        <bgColor rgb="FF1A1A1A"/>
      </patternFill>
    </fill>
    <fill>
      <patternFill patternType="solid">
        <fgColor rgb="FFFFFF99"/>
        <bgColor rgb="FFCCFFCC"/>
      </patternFill>
    </fill>
    <fill>
      <patternFill patternType="solid">
        <fgColor rgb="FFFFFFFF"/>
        <bgColor rgb="FFF4F6FA"/>
      </patternFill>
    </fill>
    <fill>
      <patternFill patternType="solid">
        <fgColor rgb="FFF0A830"/>
        <bgColor rgb="FFFFCC00"/>
      </patternFill>
    </fill>
    <fill>
      <patternFill patternType="solid">
        <fgColor rgb="FFF4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4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A830"/>
      <rgbColor rgb="FFFF6600"/>
      <rgbColor rgb="FF666666"/>
      <rgbColor rgb="FF969696"/>
      <rgbColor rgb="FF1B2E52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4" t="s">
        <v>4</v>
      </c>
      <c r="C5" s="4"/>
      <c r="D5" s="4"/>
      <c r="E5" s="4"/>
      <c r="F5" s="4"/>
    </row>
    <row r="6" customFormat="false" ht="15" hidden="false" customHeight="false" outlineLevel="0" collapsed="false">
      <c r="A6" s="5" t="s">
        <v>5</v>
      </c>
      <c r="B6" s="4" t="s">
        <v>6</v>
      </c>
      <c r="C6" s="4"/>
      <c r="D6" s="4"/>
      <c r="E6" s="4"/>
      <c r="F6" s="4"/>
    </row>
    <row r="7" customFormat="false" ht="15" hidden="false" customHeight="false" outlineLevel="0" collapsed="false">
      <c r="A7" s="5" t="s">
        <v>7</v>
      </c>
      <c r="B7" s="4" t="s">
        <v>8</v>
      </c>
      <c r="C7" s="4"/>
      <c r="D7" s="4"/>
      <c r="E7" s="4"/>
      <c r="F7" s="4"/>
    </row>
    <row r="8" customFormat="false" ht="15" hidden="false" customHeight="false" outlineLevel="0" collapsed="false">
      <c r="A8" s="5" t="s">
        <v>9</v>
      </c>
      <c r="B8" s="4" t="s">
        <v>10</v>
      </c>
      <c r="C8" s="4"/>
      <c r="D8" s="4"/>
      <c r="E8" s="4"/>
      <c r="F8" s="4"/>
    </row>
    <row r="9" customFormat="false" ht="15" hidden="false" customHeight="false" outlineLevel="0" collapsed="false">
      <c r="A9" s="6"/>
      <c r="B9" s="4"/>
      <c r="C9" s="4"/>
      <c r="D9" s="4"/>
      <c r="E9" s="4"/>
      <c r="F9" s="4"/>
    </row>
    <row r="10" customFormat="false" ht="15" hidden="false" customHeight="false" outlineLevel="0" collapsed="false">
      <c r="A10" s="6" t="s">
        <v>11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7" t="s">
        <v>12</v>
      </c>
      <c r="B11" s="4" t="s">
        <v>13</v>
      </c>
      <c r="C11" s="4"/>
      <c r="D11" s="4"/>
      <c r="E11" s="4"/>
      <c r="F11" s="4"/>
    </row>
    <row r="12" customFormat="false" ht="15" hidden="false" customHeight="false" outlineLevel="0" collapsed="false">
      <c r="A12" s="7" t="s">
        <v>14</v>
      </c>
      <c r="B12" s="4" t="s">
        <v>15</v>
      </c>
      <c r="C12" s="4"/>
      <c r="D12" s="4"/>
      <c r="E12" s="4"/>
      <c r="F12" s="4"/>
    </row>
    <row r="13" customFormat="false" ht="15" hidden="false" customHeight="false" outlineLevel="0" collapsed="false">
      <c r="A13" s="7" t="s">
        <v>16</v>
      </c>
      <c r="B13" s="4" t="s">
        <v>17</v>
      </c>
      <c r="C13" s="4"/>
      <c r="D13" s="4"/>
      <c r="E13" s="4"/>
      <c r="F13" s="4"/>
    </row>
    <row r="16" customFormat="false" ht="15" hidden="false" customHeight="false" outlineLevel="0" collapsed="false">
      <c r="A16" s="8" t="s">
        <v>18</v>
      </c>
      <c r="B16" s="8"/>
      <c r="C16" s="8"/>
      <c r="D16" s="8"/>
      <c r="E16" s="8"/>
      <c r="F16" s="8"/>
    </row>
    <row r="17" customFormat="false" ht="30" hidden="false" customHeight="true" outlineLevel="0" collapsed="false">
      <c r="A17" s="9" t="s">
        <v>19</v>
      </c>
      <c r="B17" s="9" t="s">
        <v>20</v>
      </c>
      <c r="C17" s="9" t="s">
        <v>21</v>
      </c>
      <c r="D17" s="9" t="s">
        <v>22</v>
      </c>
      <c r="E17" s="9" t="s">
        <v>23</v>
      </c>
      <c r="F17" s="9" t="s">
        <v>24</v>
      </c>
    </row>
    <row r="18" customFormat="false" ht="15" hidden="false" customHeight="false" outlineLevel="0" collapsed="false">
      <c r="A18" s="10" t="s">
        <v>25</v>
      </c>
      <c r="B18" s="10" t="s">
        <v>26</v>
      </c>
      <c r="C18" s="10" t="s">
        <v>27</v>
      </c>
      <c r="D18" s="11" t="n">
        <v>10</v>
      </c>
      <c r="E18" s="11" t="n">
        <v>10</v>
      </c>
      <c r="F18" s="10" t="s">
        <v>28</v>
      </c>
    </row>
    <row r="20" customFormat="false" ht="15" hidden="false" customHeight="false" outlineLevel="0" collapsed="false">
      <c r="A20" s="2" t="s">
        <v>29</v>
      </c>
      <c r="B20" s="2"/>
      <c r="C20" s="2"/>
      <c r="D20" s="2"/>
      <c r="E20" s="2"/>
      <c r="F20" s="2"/>
    </row>
  </sheetData>
  <mergeCells count="14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6:F16"/>
    <mergeCell ref="A20:F20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&amp;CAldanat Care FC Match Predictor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9" t="s">
        <v>32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33</v>
      </c>
      <c r="H4" s="9" t="s">
        <v>24</v>
      </c>
      <c r="I4" s="9" t="s">
        <v>34</v>
      </c>
      <c r="J4" s="9" t="s">
        <v>35</v>
      </c>
      <c r="K4" s="9" t="s">
        <v>36</v>
      </c>
    </row>
    <row r="5" customFormat="false" ht="15" hidden="false" customHeight="false" outlineLevel="0" collapsed="false">
      <c r="A5" s="12" t="n">
        <v>1</v>
      </c>
      <c r="B5" s="13"/>
      <c r="C5" s="13"/>
      <c r="D5" s="13"/>
      <c r="E5" s="14"/>
      <c r="F5" s="14"/>
      <c r="G5" s="15" t="str">
        <f aca="false">IF(AND(E5="",F5=""),"",N(E5)-N(F5))</f>
        <v/>
      </c>
      <c r="H5" s="13"/>
      <c r="I5" s="13"/>
      <c r="J5" s="13"/>
      <c r="K5" s="13"/>
    </row>
    <row r="6" customFormat="false" ht="15" hidden="false" customHeight="false" outlineLevel="0" collapsed="false">
      <c r="A6" s="12" t="n">
        <v>2</v>
      </c>
      <c r="B6" s="13"/>
      <c r="C6" s="13"/>
      <c r="D6" s="13"/>
      <c r="E6" s="14"/>
      <c r="F6" s="14"/>
      <c r="G6" s="15" t="str">
        <f aca="false">IF(AND(E6="",F6=""),"",N(E6)-N(F6))</f>
        <v/>
      </c>
      <c r="H6" s="13"/>
      <c r="I6" s="13"/>
      <c r="J6" s="13"/>
      <c r="K6" s="13"/>
    </row>
    <row r="7" customFormat="false" ht="15" hidden="false" customHeight="false" outlineLevel="0" collapsed="false">
      <c r="A7" s="12" t="n">
        <v>3</v>
      </c>
      <c r="B7" s="13"/>
      <c r="C7" s="13"/>
      <c r="D7" s="13"/>
      <c r="E7" s="14"/>
      <c r="F7" s="14"/>
      <c r="G7" s="15" t="str">
        <f aca="false">IF(AND(E7="",F7=""),"",N(E7)-N(F7))</f>
        <v/>
      </c>
      <c r="H7" s="13"/>
      <c r="I7" s="13"/>
      <c r="J7" s="13"/>
      <c r="K7" s="13"/>
    </row>
    <row r="8" customFormat="false" ht="15" hidden="false" customHeight="false" outlineLevel="0" collapsed="false">
      <c r="A8" s="12" t="n">
        <v>4</v>
      </c>
      <c r="B8" s="13"/>
      <c r="C8" s="13"/>
      <c r="D8" s="13"/>
      <c r="E8" s="14"/>
      <c r="F8" s="14"/>
      <c r="G8" s="15" t="str">
        <f aca="false">IF(AND(E8="",F8=""),"",N(E8)-N(F8))</f>
        <v/>
      </c>
      <c r="H8" s="13"/>
      <c r="I8" s="13"/>
      <c r="J8" s="13"/>
      <c r="K8" s="13"/>
    </row>
    <row r="9" customFormat="false" ht="15" hidden="false" customHeight="false" outlineLevel="0" collapsed="false">
      <c r="A9" s="12" t="n">
        <v>5</v>
      </c>
      <c r="B9" s="13"/>
      <c r="C9" s="13"/>
      <c r="D9" s="13"/>
      <c r="E9" s="14"/>
      <c r="F9" s="14"/>
      <c r="G9" s="15" t="str">
        <f aca="false">IF(AND(E9="",F9=""),"",N(E9)-N(F9))</f>
        <v/>
      </c>
      <c r="H9" s="13"/>
      <c r="I9" s="13"/>
      <c r="J9" s="13"/>
      <c r="K9" s="13"/>
    </row>
    <row r="10" customFormat="false" ht="15" hidden="false" customHeight="false" outlineLevel="0" collapsed="false">
      <c r="A10" s="12" t="n">
        <v>6</v>
      </c>
      <c r="B10" s="13"/>
      <c r="C10" s="13"/>
      <c r="D10" s="13"/>
      <c r="E10" s="14"/>
      <c r="F10" s="14"/>
      <c r="G10" s="15" t="str">
        <f aca="false">IF(AND(E10="",F10=""),"",N(E10)-N(F10))</f>
        <v/>
      </c>
      <c r="H10" s="13"/>
      <c r="I10" s="13"/>
      <c r="J10" s="13"/>
      <c r="K10" s="13"/>
    </row>
    <row r="11" customFormat="false" ht="15" hidden="false" customHeight="false" outlineLevel="0" collapsed="false">
      <c r="A11" s="12" t="n">
        <v>7</v>
      </c>
      <c r="B11" s="13"/>
      <c r="C11" s="13"/>
      <c r="D11" s="13"/>
      <c r="E11" s="14"/>
      <c r="F11" s="14"/>
      <c r="G11" s="15" t="str">
        <f aca="false">IF(AND(E11="",F11=""),"",N(E11)-N(F11))</f>
        <v/>
      </c>
      <c r="H11" s="13"/>
      <c r="I11" s="13"/>
      <c r="J11" s="13"/>
      <c r="K11" s="13"/>
    </row>
    <row r="12" customFormat="false" ht="15" hidden="false" customHeight="false" outlineLevel="0" collapsed="false">
      <c r="A12" s="12" t="n">
        <v>8</v>
      </c>
      <c r="B12" s="13"/>
      <c r="C12" s="13"/>
      <c r="D12" s="13"/>
      <c r="E12" s="14"/>
      <c r="F12" s="14"/>
      <c r="G12" s="15" t="str">
        <f aca="false">IF(AND(E12="",F12=""),"",N(E12)-N(F12))</f>
        <v/>
      </c>
      <c r="H12" s="13"/>
      <c r="I12" s="13"/>
      <c r="J12" s="13"/>
      <c r="K12" s="13"/>
    </row>
    <row r="13" customFormat="false" ht="15" hidden="false" customHeight="false" outlineLevel="0" collapsed="false">
      <c r="A13" s="12" t="n">
        <v>9</v>
      </c>
      <c r="B13" s="13"/>
      <c r="C13" s="13"/>
      <c r="D13" s="13"/>
      <c r="E13" s="14"/>
      <c r="F13" s="14"/>
      <c r="G13" s="15" t="str">
        <f aca="false">IF(AND(E13="",F13=""),"",N(E13)-N(F13))</f>
        <v/>
      </c>
      <c r="H13" s="13"/>
      <c r="I13" s="13"/>
      <c r="J13" s="13"/>
      <c r="K13" s="13"/>
    </row>
    <row r="14" customFormat="false" ht="15" hidden="false" customHeight="false" outlineLevel="0" collapsed="false">
      <c r="A14" s="12" t="n">
        <v>10</v>
      </c>
      <c r="B14" s="13"/>
      <c r="C14" s="13"/>
      <c r="D14" s="13"/>
      <c r="E14" s="14"/>
      <c r="F14" s="14"/>
      <c r="G14" s="15" t="str">
        <f aca="false">IF(AND(E14="",F14=""),"",N(E14)-N(F14))</f>
        <v/>
      </c>
      <c r="H14" s="13"/>
      <c r="I14" s="13"/>
      <c r="J14" s="13"/>
      <c r="K14" s="13"/>
    </row>
    <row r="15" customFormat="false" ht="15" hidden="false" customHeight="false" outlineLevel="0" collapsed="false">
      <c r="A15" s="12" t="n">
        <v>11</v>
      </c>
      <c r="B15" s="13"/>
      <c r="C15" s="13"/>
      <c r="D15" s="13"/>
      <c r="E15" s="14"/>
      <c r="F15" s="14"/>
      <c r="G15" s="15" t="str">
        <f aca="false">IF(AND(E15="",F15=""),"",N(E15)-N(F15))</f>
        <v/>
      </c>
      <c r="H15" s="13"/>
      <c r="I15" s="13"/>
      <c r="J15" s="13"/>
      <c r="K15" s="13"/>
    </row>
    <row r="16" customFormat="false" ht="15" hidden="false" customHeight="false" outlineLevel="0" collapsed="false">
      <c r="A16" s="12" t="n">
        <v>12</v>
      </c>
      <c r="B16" s="13"/>
      <c r="C16" s="13"/>
      <c r="D16" s="13"/>
      <c r="E16" s="14"/>
      <c r="F16" s="14"/>
      <c r="G16" s="15" t="str">
        <f aca="false">IF(AND(E16="",F16=""),"",N(E16)-N(F16))</f>
        <v/>
      </c>
      <c r="H16" s="13"/>
      <c r="I16" s="13"/>
      <c r="J16" s="13"/>
      <c r="K16" s="13"/>
    </row>
    <row r="17" customFormat="false" ht="15" hidden="false" customHeight="false" outlineLevel="0" collapsed="false">
      <c r="A17" s="12" t="n">
        <v>13</v>
      </c>
      <c r="B17" s="13"/>
      <c r="C17" s="13"/>
      <c r="D17" s="13"/>
      <c r="E17" s="14"/>
      <c r="F17" s="14"/>
      <c r="G17" s="15" t="str">
        <f aca="false">IF(AND(E17="",F17=""),"",N(E17)-N(F17))</f>
        <v/>
      </c>
      <c r="H17" s="13"/>
      <c r="I17" s="13"/>
      <c r="J17" s="13"/>
      <c r="K17" s="13"/>
    </row>
    <row r="18" customFormat="false" ht="15" hidden="false" customHeight="false" outlineLevel="0" collapsed="false">
      <c r="A18" s="12" t="n">
        <v>14</v>
      </c>
      <c r="B18" s="13"/>
      <c r="C18" s="13"/>
      <c r="D18" s="13"/>
      <c r="E18" s="14"/>
      <c r="F18" s="14"/>
      <c r="G18" s="15" t="str">
        <f aca="false">IF(AND(E18="",F18=""),"",N(E18)-N(F18))</f>
        <v/>
      </c>
      <c r="H18" s="13"/>
      <c r="I18" s="13"/>
      <c r="J18" s="13"/>
      <c r="K18" s="13"/>
    </row>
    <row r="19" customFormat="false" ht="15" hidden="false" customHeight="false" outlineLevel="0" collapsed="false">
      <c r="A19" s="12" t="n">
        <v>15</v>
      </c>
      <c r="B19" s="13"/>
      <c r="C19" s="13"/>
      <c r="D19" s="13"/>
      <c r="E19" s="14"/>
      <c r="F19" s="14"/>
      <c r="G19" s="15" t="str">
        <f aca="false">IF(AND(E19="",F19=""),"",N(E19)-N(F19))</f>
        <v/>
      </c>
      <c r="H19" s="13"/>
      <c r="I19" s="13"/>
      <c r="J19" s="13"/>
      <c r="K19" s="13"/>
    </row>
    <row r="20" customFormat="false" ht="15" hidden="false" customHeight="false" outlineLevel="0" collapsed="false">
      <c r="A20" s="12" t="n">
        <v>16</v>
      </c>
      <c r="B20" s="13"/>
      <c r="C20" s="13"/>
      <c r="D20" s="13"/>
      <c r="E20" s="14"/>
      <c r="F20" s="14"/>
      <c r="G20" s="15" t="str">
        <f aca="false">IF(AND(E20="",F20=""),"",N(E20)-N(F20))</f>
        <v/>
      </c>
      <c r="H20" s="13"/>
      <c r="I20" s="13"/>
      <c r="J20" s="13"/>
      <c r="K20" s="13"/>
    </row>
    <row r="21" customFormat="false" ht="15" hidden="false" customHeight="false" outlineLevel="0" collapsed="false">
      <c r="A21" s="12" t="n">
        <v>17</v>
      </c>
      <c r="B21" s="13"/>
      <c r="C21" s="13"/>
      <c r="D21" s="13"/>
      <c r="E21" s="14"/>
      <c r="F21" s="14"/>
      <c r="G21" s="15" t="str">
        <f aca="false">IF(AND(E21="",F21=""),"",N(E21)-N(F21))</f>
        <v/>
      </c>
      <c r="H21" s="13"/>
      <c r="I21" s="13"/>
      <c r="J21" s="13"/>
      <c r="K21" s="13"/>
    </row>
    <row r="22" customFormat="false" ht="15" hidden="false" customHeight="false" outlineLevel="0" collapsed="false">
      <c r="A22" s="12" t="n">
        <v>18</v>
      </c>
      <c r="B22" s="13"/>
      <c r="C22" s="13"/>
      <c r="D22" s="13"/>
      <c r="E22" s="14"/>
      <c r="F22" s="14"/>
      <c r="G22" s="15" t="str">
        <f aca="false">IF(AND(E22="",F22=""),"",N(E22)-N(F22))</f>
        <v/>
      </c>
      <c r="H22" s="13"/>
      <c r="I22" s="13"/>
      <c r="J22" s="13"/>
      <c r="K22" s="13"/>
    </row>
    <row r="23" customFormat="false" ht="15" hidden="false" customHeight="false" outlineLevel="0" collapsed="false">
      <c r="A23" s="12" t="n">
        <v>19</v>
      </c>
      <c r="B23" s="13"/>
      <c r="C23" s="13"/>
      <c r="D23" s="13"/>
      <c r="E23" s="14"/>
      <c r="F23" s="14"/>
      <c r="G23" s="15" t="str">
        <f aca="false">IF(AND(E23="",F23=""),"",N(E23)-N(F23))</f>
        <v/>
      </c>
      <c r="H23" s="13"/>
      <c r="I23" s="13"/>
      <c r="J23" s="13"/>
      <c r="K23" s="13"/>
    </row>
    <row r="24" customFormat="false" ht="15" hidden="false" customHeight="false" outlineLevel="0" collapsed="false">
      <c r="A24" s="12" t="n">
        <v>20</v>
      </c>
      <c r="B24" s="13"/>
      <c r="C24" s="13"/>
      <c r="D24" s="13"/>
      <c r="E24" s="14"/>
      <c r="F24" s="14"/>
      <c r="G24" s="15" t="str">
        <f aca="false">IF(AND(E24="",F24=""),"",N(E24)-N(F24))</f>
        <v/>
      </c>
      <c r="H24" s="13"/>
      <c r="I24" s="13"/>
      <c r="J24" s="13"/>
      <c r="K24" s="13"/>
    </row>
    <row r="25" customFormat="false" ht="15" hidden="false" customHeight="false" outlineLevel="0" collapsed="false">
      <c r="A25" s="12" t="n">
        <v>21</v>
      </c>
      <c r="B25" s="13"/>
      <c r="C25" s="13"/>
      <c r="D25" s="13"/>
      <c r="E25" s="14"/>
      <c r="F25" s="14"/>
      <c r="G25" s="15" t="str">
        <f aca="false">IF(AND(E25="",F25=""),"",N(E25)-N(F25))</f>
        <v/>
      </c>
      <c r="H25" s="13"/>
      <c r="I25" s="13"/>
      <c r="J25" s="13"/>
      <c r="K25" s="13"/>
    </row>
    <row r="26" customFormat="false" ht="15" hidden="false" customHeight="false" outlineLevel="0" collapsed="false">
      <c r="A26" s="12" t="n">
        <v>22</v>
      </c>
      <c r="B26" s="13"/>
      <c r="C26" s="13"/>
      <c r="D26" s="13"/>
      <c r="E26" s="14"/>
      <c r="F26" s="14"/>
      <c r="G26" s="15" t="str">
        <f aca="false">IF(AND(E26="",F26=""),"",N(E26)-N(F26))</f>
        <v/>
      </c>
      <c r="H26" s="13"/>
      <c r="I26" s="13"/>
      <c r="J26" s="13"/>
      <c r="K26" s="13"/>
    </row>
    <row r="27" customFormat="false" ht="15" hidden="false" customHeight="false" outlineLevel="0" collapsed="false">
      <c r="A27" s="12" t="n">
        <v>23</v>
      </c>
      <c r="B27" s="13"/>
      <c r="C27" s="13"/>
      <c r="D27" s="13"/>
      <c r="E27" s="14"/>
      <c r="F27" s="14"/>
      <c r="G27" s="15" t="str">
        <f aca="false">IF(AND(E27="",F27=""),"",N(E27)-N(F27))</f>
        <v/>
      </c>
      <c r="H27" s="13"/>
      <c r="I27" s="13"/>
      <c r="J27" s="13"/>
      <c r="K27" s="13"/>
    </row>
    <row r="28" customFormat="false" ht="15" hidden="false" customHeight="false" outlineLevel="0" collapsed="false">
      <c r="A28" s="12" t="n">
        <v>24</v>
      </c>
      <c r="B28" s="13"/>
      <c r="C28" s="13"/>
      <c r="D28" s="13"/>
      <c r="E28" s="14"/>
      <c r="F28" s="14"/>
      <c r="G28" s="15" t="str">
        <f aca="false">IF(AND(E28="",F28=""),"",N(E28)-N(F28))</f>
        <v/>
      </c>
      <c r="H28" s="13"/>
      <c r="I28" s="13"/>
      <c r="J28" s="13"/>
      <c r="K28" s="13"/>
    </row>
    <row r="29" customFormat="false" ht="15" hidden="false" customHeight="false" outlineLevel="0" collapsed="false">
      <c r="A29" s="12" t="n">
        <v>25</v>
      </c>
      <c r="B29" s="13"/>
      <c r="C29" s="13"/>
      <c r="D29" s="13"/>
      <c r="E29" s="14"/>
      <c r="F29" s="14"/>
      <c r="G29" s="15" t="str">
        <f aca="false">IF(AND(E29="",F29=""),"",N(E29)-N(F29))</f>
        <v/>
      </c>
      <c r="H29" s="13"/>
      <c r="I29" s="13"/>
      <c r="J29" s="13"/>
      <c r="K29" s="13"/>
    </row>
    <row r="30" customFormat="false" ht="15" hidden="false" customHeight="false" outlineLevel="0" collapsed="false">
      <c r="A30" s="12" t="n">
        <v>26</v>
      </c>
      <c r="B30" s="13"/>
      <c r="C30" s="13"/>
      <c r="D30" s="13"/>
      <c r="E30" s="14"/>
      <c r="F30" s="14"/>
      <c r="G30" s="15" t="str">
        <f aca="false">IF(AND(E30="",F30=""),"",N(E30)-N(F30))</f>
        <v/>
      </c>
      <c r="H30" s="13"/>
      <c r="I30" s="13"/>
      <c r="J30" s="13"/>
      <c r="K30" s="13"/>
    </row>
    <row r="31" customFormat="false" ht="15" hidden="false" customHeight="false" outlineLevel="0" collapsed="false">
      <c r="A31" s="12" t="n">
        <v>27</v>
      </c>
      <c r="B31" s="13"/>
      <c r="C31" s="13"/>
      <c r="D31" s="13"/>
      <c r="E31" s="14"/>
      <c r="F31" s="14"/>
      <c r="G31" s="15" t="str">
        <f aca="false">IF(AND(E31="",F31=""),"",N(E31)-N(F31))</f>
        <v/>
      </c>
      <c r="H31" s="13"/>
      <c r="I31" s="13"/>
      <c r="J31" s="13"/>
      <c r="K31" s="13"/>
    </row>
    <row r="32" customFormat="false" ht="15" hidden="false" customHeight="false" outlineLevel="0" collapsed="false">
      <c r="A32" s="12" t="n">
        <v>28</v>
      </c>
      <c r="B32" s="13"/>
      <c r="C32" s="13"/>
      <c r="D32" s="13"/>
      <c r="E32" s="14"/>
      <c r="F32" s="14"/>
      <c r="G32" s="15" t="str">
        <f aca="false">IF(AND(E32="",F32=""),"",N(E32)-N(F32))</f>
        <v/>
      </c>
      <c r="H32" s="13"/>
      <c r="I32" s="13"/>
      <c r="J32" s="13"/>
      <c r="K32" s="13"/>
    </row>
    <row r="33" customFormat="false" ht="15" hidden="false" customHeight="false" outlineLevel="0" collapsed="false">
      <c r="A33" s="12" t="n">
        <v>29</v>
      </c>
      <c r="B33" s="13"/>
      <c r="C33" s="13"/>
      <c r="D33" s="13"/>
      <c r="E33" s="14"/>
      <c r="F33" s="14"/>
      <c r="G33" s="15" t="str">
        <f aca="false">IF(AND(E33="",F33=""),"",N(E33)-N(F33))</f>
        <v/>
      </c>
      <c r="H33" s="13"/>
      <c r="I33" s="13"/>
      <c r="J33" s="13"/>
      <c r="K33" s="13"/>
    </row>
    <row r="34" customFormat="false" ht="15" hidden="false" customHeight="false" outlineLevel="0" collapsed="false">
      <c r="A34" s="12" t="n">
        <v>30</v>
      </c>
      <c r="B34" s="13"/>
      <c r="C34" s="13"/>
      <c r="D34" s="13"/>
      <c r="E34" s="14"/>
      <c r="F34" s="14"/>
      <c r="G34" s="15" t="str">
        <f aca="false">IF(AND(E34="",F34=""),"",N(E34)-N(F34))</f>
        <v/>
      </c>
      <c r="H34" s="13"/>
      <c r="I34" s="13"/>
      <c r="J34" s="13"/>
      <c r="K34" s="13"/>
    </row>
    <row r="35" customFormat="false" ht="15" hidden="false" customHeight="false" outlineLevel="0" collapsed="false">
      <c r="A35" s="12" t="n">
        <v>31</v>
      </c>
      <c r="B35" s="13"/>
      <c r="C35" s="13"/>
      <c r="D35" s="13"/>
      <c r="E35" s="14"/>
      <c r="F35" s="14"/>
      <c r="G35" s="15" t="str">
        <f aca="false">IF(AND(E35="",F35=""),"",N(E35)-N(F35))</f>
        <v/>
      </c>
      <c r="H35" s="13"/>
      <c r="I35" s="13"/>
      <c r="J35" s="13"/>
      <c r="K35" s="13"/>
    </row>
    <row r="36" customFormat="false" ht="15" hidden="false" customHeight="false" outlineLevel="0" collapsed="false">
      <c r="A36" s="12" t="n">
        <v>32</v>
      </c>
      <c r="B36" s="13"/>
      <c r="C36" s="13"/>
      <c r="D36" s="13"/>
      <c r="E36" s="14"/>
      <c r="F36" s="14"/>
      <c r="G36" s="15" t="str">
        <f aca="false">IF(AND(E36="",F36=""),"",N(E36)-N(F36))</f>
        <v/>
      </c>
      <c r="H36" s="13"/>
      <c r="I36" s="13"/>
      <c r="J36" s="13"/>
      <c r="K36" s="13"/>
    </row>
    <row r="37" customFormat="false" ht="15" hidden="false" customHeight="false" outlineLevel="0" collapsed="false">
      <c r="A37" s="12" t="n">
        <v>33</v>
      </c>
      <c r="B37" s="13"/>
      <c r="C37" s="13"/>
      <c r="D37" s="13"/>
      <c r="E37" s="14"/>
      <c r="F37" s="14"/>
      <c r="G37" s="15" t="str">
        <f aca="false">IF(AND(E37="",F37=""),"",N(E37)-N(F37))</f>
        <v/>
      </c>
      <c r="H37" s="13"/>
      <c r="I37" s="13"/>
      <c r="J37" s="13"/>
      <c r="K37" s="13"/>
    </row>
    <row r="38" customFormat="false" ht="15" hidden="false" customHeight="false" outlineLevel="0" collapsed="false">
      <c r="A38" s="12" t="n">
        <v>34</v>
      </c>
      <c r="B38" s="13"/>
      <c r="C38" s="13"/>
      <c r="D38" s="13"/>
      <c r="E38" s="14"/>
      <c r="F38" s="14"/>
      <c r="G38" s="15" t="str">
        <f aca="false">IF(AND(E38="",F38=""),"",N(E38)-N(F38))</f>
        <v/>
      </c>
      <c r="H38" s="13"/>
      <c r="I38" s="13"/>
      <c r="J38" s="13"/>
      <c r="K38" s="13"/>
    </row>
    <row r="39" customFormat="false" ht="15" hidden="false" customHeight="false" outlineLevel="0" collapsed="false">
      <c r="A39" s="12" t="n">
        <v>35</v>
      </c>
      <c r="B39" s="13"/>
      <c r="C39" s="13"/>
      <c r="D39" s="13"/>
      <c r="E39" s="14"/>
      <c r="F39" s="14"/>
      <c r="G39" s="15" t="str">
        <f aca="false">IF(AND(E39="",F39=""),"",N(E39)-N(F39))</f>
        <v/>
      </c>
      <c r="H39" s="13"/>
      <c r="I39" s="13"/>
      <c r="J39" s="13"/>
      <c r="K39" s="13"/>
    </row>
    <row r="40" customFormat="false" ht="15" hidden="false" customHeight="false" outlineLevel="0" collapsed="false">
      <c r="A40" s="12" t="n">
        <v>36</v>
      </c>
      <c r="B40" s="13"/>
      <c r="C40" s="13"/>
      <c r="D40" s="13"/>
      <c r="E40" s="14"/>
      <c r="F40" s="14"/>
      <c r="G40" s="15" t="str">
        <f aca="false">IF(AND(E40="",F40=""),"",N(E40)-N(F40))</f>
        <v/>
      </c>
      <c r="H40" s="13"/>
      <c r="I40" s="13"/>
      <c r="J40" s="13"/>
      <c r="K40" s="13"/>
    </row>
    <row r="41" customFormat="false" ht="15" hidden="false" customHeight="false" outlineLevel="0" collapsed="false">
      <c r="A41" s="12" t="n">
        <v>37</v>
      </c>
      <c r="B41" s="13"/>
      <c r="C41" s="13"/>
      <c r="D41" s="13"/>
      <c r="E41" s="14"/>
      <c r="F41" s="14"/>
      <c r="G41" s="15" t="str">
        <f aca="false">IF(AND(E41="",F41=""),"",N(E41)-N(F41))</f>
        <v/>
      </c>
      <c r="H41" s="13"/>
      <c r="I41" s="13"/>
      <c r="J41" s="13"/>
      <c r="K41" s="13"/>
    </row>
    <row r="42" customFormat="false" ht="15" hidden="false" customHeight="false" outlineLevel="0" collapsed="false">
      <c r="A42" s="12" t="n">
        <v>38</v>
      </c>
      <c r="B42" s="13"/>
      <c r="C42" s="13"/>
      <c r="D42" s="13"/>
      <c r="E42" s="14"/>
      <c r="F42" s="14"/>
      <c r="G42" s="15" t="str">
        <f aca="false">IF(AND(E42="",F42=""),"",N(E42)-N(F42))</f>
        <v/>
      </c>
      <c r="H42" s="13"/>
      <c r="I42" s="13"/>
      <c r="J42" s="13"/>
      <c r="K42" s="13"/>
    </row>
    <row r="43" customFormat="false" ht="15" hidden="false" customHeight="false" outlineLevel="0" collapsed="false">
      <c r="A43" s="12" t="n">
        <v>39</v>
      </c>
      <c r="B43" s="13"/>
      <c r="C43" s="13"/>
      <c r="D43" s="13"/>
      <c r="E43" s="14"/>
      <c r="F43" s="14"/>
      <c r="G43" s="15" t="str">
        <f aca="false">IF(AND(E43="",F43=""),"",N(E43)-N(F43))</f>
        <v/>
      </c>
      <c r="H43" s="13"/>
      <c r="I43" s="13"/>
      <c r="J43" s="13"/>
      <c r="K43" s="13"/>
    </row>
    <row r="44" customFormat="false" ht="15" hidden="false" customHeight="false" outlineLevel="0" collapsed="false">
      <c r="A44" s="12" t="n">
        <v>40</v>
      </c>
      <c r="B44" s="13"/>
      <c r="C44" s="13"/>
      <c r="D44" s="13"/>
      <c r="E44" s="14"/>
      <c r="F44" s="14"/>
      <c r="G44" s="15" t="str">
        <f aca="false">IF(AND(E44="",F44=""),"",N(E44)-N(F44))</f>
        <v/>
      </c>
      <c r="H44" s="13"/>
      <c r="I44" s="13"/>
      <c r="J44" s="13"/>
      <c r="K44" s="13"/>
    </row>
    <row r="45" customFormat="false" ht="15" hidden="false" customHeight="false" outlineLevel="0" collapsed="false">
      <c r="A45" s="12" t="n">
        <v>41</v>
      </c>
      <c r="B45" s="13"/>
      <c r="C45" s="13"/>
      <c r="D45" s="13"/>
      <c r="E45" s="14"/>
      <c r="F45" s="14"/>
      <c r="G45" s="15" t="str">
        <f aca="false">IF(AND(E45="",F45=""),"",N(E45)-N(F45))</f>
        <v/>
      </c>
      <c r="H45" s="13"/>
      <c r="I45" s="13"/>
      <c r="J45" s="13"/>
      <c r="K45" s="13"/>
    </row>
    <row r="46" customFormat="false" ht="15" hidden="false" customHeight="false" outlineLevel="0" collapsed="false">
      <c r="A46" s="12" t="n">
        <v>42</v>
      </c>
      <c r="B46" s="13"/>
      <c r="C46" s="13"/>
      <c r="D46" s="13"/>
      <c r="E46" s="14"/>
      <c r="F46" s="14"/>
      <c r="G46" s="15" t="str">
        <f aca="false">IF(AND(E46="",F46=""),"",N(E46)-N(F46))</f>
        <v/>
      </c>
      <c r="H46" s="13"/>
      <c r="I46" s="13"/>
      <c r="J46" s="13"/>
      <c r="K46" s="13"/>
    </row>
    <row r="47" customFormat="false" ht="15" hidden="false" customHeight="false" outlineLevel="0" collapsed="false">
      <c r="A47" s="12" t="n">
        <v>43</v>
      </c>
      <c r="B47" s="13"/>
      <c r="C47" s="13"/>
      <c r="D47" s="13"/>
      <c r="E47" s="14"/>
      <c r="F47" s="14"/>
      <c r="G47" s="15" t="str">
        <f aca="false">IF(AND(E47="",F47=""),"",N(E47)-N(F47))</f>
        <v/>
      </c>
      <c r="H47" s="13"/>
      <c r="I47" s="13"/>
      <c r="J47" s="13"/>
      <c r="K47" s="13"/>
    </row>
    <row r="48" customFormat="false" ht="15" hidden="false" customHeight="false" outlineLevel="0" collapsed="false">
      <c r="A48" s="12" t="n">
        <v>44</v>
      </c>
      <c r="B48" s="13"/>
      <c r="C48" s="13"/>
      <c r="D48" s="13"/>
      <c r="E48" s="14"/>
      <c r="F48" s="14"/>
      <c r="G48" s="15" t="str">
        <f aca="false">IF(AND(E48="",F48=""),"",N(E48)-N(F48))</f>
        <v/>
      </c>
      <c r="H48" s="13"/>
      <c r="I48" s="13"/>
      <c r="J48" s="13"/>
      <c r="K48" s="13"/>
    </row>
    <row r="49" customFormat="false" ht="15" hidden="false" customHeight="false" outlineLevel="0" collapsed="false">
      <c r="A49" s="12" t="n">
        <v>45</v>
      </c>
      <c r="B49" s="13"/>
      <c r="C49" s="13"/>
      <c r="D49" s="13"/>
      <c r="E49" s="14"/>
      <c r="F49" s="14"/>
      <c r="G49" s="15" t="str">
        <f aca="false">IF(AND(E49="",F49=""),"",N(E49)-N(F49))</f>
        <v/>
      </c>
      <c r="H49" s="13"/>
      <c r="I49" s="13"/>
      <c r="J49" s="13"/>
      <c r="K49" s="13"/>
    </row>
    <row r="50" customFormat="false" ht="15" hidden="false" customHeight="false" outlineLevel="0" collapsed="false">
      <c r="A50" s="12" t="n">
        <v>46</v>
      </c>
      <c r="B50" s="13"/>
      <c r="C50" s="13"/>
      <c r="D50" s="13"/>
      <c r="E50" s="14"/>
      <c r="F50" s="14"/>
      <c r="G50" s="15" t="str">
        <f aca="false">IF(AND(E50="",F50=""),"",N(E50)-N(F50))</f>
        <v/>
      </c>
      <c r="H50" s="13"/>
      <c r="I50" s="13"/>
      <c r="J50" s="13"/>
      <c r="K50" s="13"/>
    </row>
    <row r="51" customFormat="false" ht="15" hidden="false" customHeight="false" outlineLevel="0" collapsed="false">
      <c r="A51" s="12" t="n">
        <v>47</v>
      </c>
      <c r="B51" s="13"/>
      <c r="C51" s="13"/>
      <c r="D51" s="13"/>
      <c r="E51" s="14"/>
      <c r="F51" s="14"/>
      <c r="G51" s="15" t="str">
        <f aca="false">IF(AND(E51="",F51=""),"",N(E51)-N(F51))</f>
        <v/>
      </c>
      <c r="H51" s="13"/>
      <c r="I51" s="13"/>
      <c r="J51" s="13"/>
      <c r="K51" s="13"/>
    </row>
    <row r="52" customFormat="false" ht="15" hidden="false" customHeight="false" outlineLevel="0" collapsed="false">
      <c r="A52" s="12" t="n">
        <v>48</v>
      </c>
      <c r="B52" s="13"/>
      <c r="C52" s="13"/>
      <c r="D52" s="13"/>
      <c r="E52" s="14"/>
      <c r="F52" s="14"/>
      <c r="G52" s="15" t="str">
        <f aca="false">IF(AND(E52="",F52=""),"",N(E52)-N(F52))</f>
        <v/>
      </c>
      <c r="H52" s="13"/>
      <c r="I52" s="13"/>
      <c r="J52" s="13"/>
      <c r="K52" s="13"/>
    </row>
    <row r="53" customFormat="false" ht="15" hidden="false" customHeight="false" outlineLevel="0" collapsed="false">
      <c r="A53" s="12" t="n">
        <v>49</v>
      </c>
      <c r="B53" s="13"/>
      <c r="C53" s="13"/>
      <c r="D53" s="13"/>
      <c r="E53" s="14"/>
      <c r="F53" s="14"/>
      <c r="G53" s="15" t="str">
        <f aca="false">IF(AND(E53="",F53=""),"",N(E53)-N(F53))</f>
        <v/>
      </c>
      <c r="H53" s="13"/>
      <c r="I53" s="13"/>
      <c r="J53" s="13"/>
      <c r="K53" s="13"/>
    </row>
    <row r="54" customFormat="false" ht="15" hidden="false" customHeight="false" outlineLevel="0" collapsed="false">
      <c r="A54" s="12" t="n">
        <v>50</v>
      </c>
      <c r="B54" s="13"/>
      <c r="C54" s="13"/>
      <c r="D54" s="13"/>
      <c r="E54" s="14"/>
      <c r="F54" s="14"/>
      <c r="G54" s="15" t="str">
        <f aca="false">IF(AND(E54="",F54=""),"",N(E54)-N(F54))</f>
        <v/>
      </c>
      <c r="H54" s="13"/>
      <c r="I54" s="13"/>
      <c r="J54" s="13"/>
      <c r="K54" s="13"/>
    </row>
    <row r="55" customFormat="false" ht="15" hidden="false" customHeight="false" outlineLevel="0" collapsed="false">
      <c r="A55" s="12" t="n">
        <v>51</v>
      </c>
      <c r="B55" s="13"/>
      <c r="C55" s="13"/>
      <c r="D55" s="13"/>
      <c r="E55" s="14"/>
      <c r="F55" s="14"/>
      <c r="G55" s="15" t="str">
        <f aca="false">IF(AND(E55="",F55=""),"",N(E55)-N(F55))</f>
        <v/>
      </c>
      <c r="H55" s="13"/>
      <c r="I55" s="13"/>
      <c r="J55" s="13"/>
      <c r="K55" s="13"/>
    </row>
    <row r="56" customFormat="false" ht="15" hidden="false" customHeight="false" outlineLevel="0" collapsed="false">
      <c r="A56" s="12" t="n">
        <v>52</v>
      </c>
      <c r="B56" s="13"/>
      <c r="C56" s="13"/>
      <c r="D56" s="13"/>
      <c r="E56" s="14"/>
      <c r="F56" s="14"/>
      <c r="G56" s="15" t="str">
        <f aca="false">IF(AND(E56="",F56=""),"",N(E56)-N(F56))</f>
        <v/>
      </c>
      <c r="H56" s="13"/>
      <c r="I56" s="13"/>
      <c r="J56" s="13"/>
      <c r="K56" s="13"/>
    </row>
    <row r="57" customFormat="false" ht="15" hidden="false" customHeight="false" outlineLevel="0" collapsed="false">
      <c r="A57" s="12" t="n">
        <v>53</v>
      </c>
      <c r="B57" s="13"/>
      <c r="C57" s="13"/>
      <c r="D57" s="13"/>
      <c r="E57" s="14"/>
      <c r="F57" s="14"/>
      <c r="G57" s="15" t="str">
        <f aca="false">IF(AND(E57="",F57=""),"",N(E57)-N(F57))</f>
        <v/>
      </c>
      <c r="H57" s="13"/>
      <c r="I57" s="13"/>
      <c r="J57" s="13"/>
      <c r="K57" s="13"/>
    </row>
    <row r="58" customFormat="false" ht="15" hidden="false" customHeight="false" outlineLevel="0" collapsed="false">
      <c r="A58" s="12" t="n">
        <v>54</v>
      </c>
      <c r="B58" s="13"/>
      <c r="C58" s="13"/>
      <c r="D58" s="13"/>
      <c r="E58" s="14"/>
      <c r="F58" s="14"/>
      <c r="G58" s="15" t="str">
        <f aca="false">IF(AND(E58="",F58=""),"",N(E58)-N(F58))</f>
        <v/>
      </c>
      <c r="H58" s="13"/>
      <c r="I58" s="13"/>
      <c r="J58" s="13"/>
      <c r="K58" s="13"/>
    </row>
    <row r="59" customFormat="false" ht="15" hidden="false" customHeight="false" outlineLevel="0" collapsed="false">
      <c r="A59" s="12" t="n">
        <v>55</v>
      </c>
      <c r="B59" s="13"/>
      <c r="C59" s="13"/>
      <c r="D59" s="13"/>
      <c r="E59" s="14"/>
      <c r="F59" s="14"/>
      <c r="G59" s="15" t="str">
        <f aca="false">IF(AND(E59="",F59=""),"",N(E59)-N(F59))</f>
        <v/>
      </c>
      <c r="H59" s="13"/>
      <c r="I59" s="13"/>
      <c r="J59" s="13"/>
      <c r="K59" s="13"/>
    </row>
    <row r="60" customFormat="false" ht="15" hidden="false" customHeight="false" outlineLevel="0" collapsed="false">
      <c r="A60" s="12" t="n">
        <v>56</v>
      </c>
      <c r="B60" s="13"/>
      <c r="C60" s="13"/>
      <c r="D60" s="13"/>
      <c r="E60" s="14"/>
      <c r="F60" s="14"/>
      <c r="G60" s="15" t="str">
        <f aca="false">IF(AND(E60="",F60=""),"",N(E60)-N(F60))</f>
        <v/>
      </c>
      <c r="H60" s="13"/>
      <c r="I60" s="13"/>
      <c r="J60" s="13"/>
      <c r="K60" s="13"/>
    </row>
    <row r="61" customFormat="false" ht="15" hidden="false" customHeight="false" outlineLevel="0" collapsed="false">
      <c r="A61" s="12" t="n">
        <v>57</v>
      </c>
      <c r="B61" s="13"/>
      <c r="C61" s="13"/>
      <c r="D61" s="13"/>
      <c r="E61" s="14"/>
      <c r="F61" s="14"/>
      <c r="G61" s="15" t="str">
        <f aca="false">IF(AND(E61="",F61=""),"",N(E61)-N(F61))</f>
        <v/>
      </c>
      <c r="H61" s="13"/>
      <c r="I61" s="13"/>
      <c r="J61" s="13"/>
      <c r="K61" s="13"/>
    </row>
    <row r="62" customFormat="false" ht="15" hidden="false" customHeight="false" outlineLevel="0" collapsed="false">
      <c r="A62" s="12" t="n">
        <v>58</v>
      </c>
      <c r="B62" s="13"/>
      <c r="C62" s="13"/>
      <c r="D62" s="13"/>
      <c r="E62" s="14"/>
      <c r="F62" s="14"/>
      <c r="G62" s="15" t="str">
        <f aca="false">IF(AND(E62="",F62=""),"",N(E62)-N(F62))</f>
        <v/>
      </c>
      <c r="H62" s="13"/>
      <c r="I62" s="13"/>
      <c r="J62" s="13"/>
      <c r="K62" s="13"/>
    </row>
    <row r="63" customFormat="false" ht="15" hidden="false" customHeight="false" outlineLevel="0" collapsed="false">
      <c r="A63" s="12" t="n">
        <v>59</v>
      </c>
      <c r="B63" s="13"/>
      <c r="C63" s="13"/>
      <c r="D63" s="13"/>
      <c r="E63" s="14"/>
      <c r="F63" s="14"/>
      <c r="G63" s="15" t="str">
        <f aca="false">IF(AND(E63="",F63=""),"",N(E63)-N(F63))</f>
        <v/>
      </c>
      <c r="H63" s="13"/>
      <c r="I63" s="13"/>
      <c r="J63" s="13"/>
      <c r="K63" s="13"/>
    </row>
    <row r="64" customFormat="false" ht="15" hidden="false" customHeight="false" outlineLevel="0" collapsed="false">
      <c r="A64" s="12" t="n">
        <v>60</v>
      </c>
      <c r="B64" s="13"/>
      <c r="C64" s="13"/>
      <c r="D64" s="13"/>
      <c r="E64" s="14"/>
      <c r="F64" s="14"/>
      <c r="G64" s="15" t="str">
        <f aca="false">IF(AND(E64="",F64=""),"",N(E64)-N(F64))</f>
        <v/>
      </c>
      <c r="H64" s="13"/>
      <c r="I64" s="13"/>
      <c r="J64" s="13"/>
      <c r="K64" s="13"/>
    </row>
    <row r="65" customFormat="false" ht="15" hidden="false" customHeight="false" outlineLevel="0" collapsed="false">
      <c r="A65" s="12" t="n">
        <v>61</v>
      </c>
      <c r="B65" s="13"/>
      <c r="C65" s="13"/>
      <c r="D65" s="13"/>
      <c r="E65" s="14"/>
      <c r="F65" s="14"/>
      <c r="G65" s="15" t="str">
        <f aca="false">IF(AND(E65="",F65=""),"",N(E65)-N(F65))</f>
        <v/>
      </c>
      <c r="H65" s="13"/>
      <c r="I65" s="13"/>
      <c r="J65" s="13"/>
      <c r="K65" s="13"/>
    </row>
    <row r="66" customFormat="false" ht="15" hidden="false" customHeight="false" outlineLevel="0" collapsed="false">
      <c r="A66" s="12" t="n">
        <v>62</v>
      </c>
      <c r="B66" s="13"/>
      <c r="C66" s="13"/>
      <c r="D66" s="13"/>
      <c r="E66" s="14"/>
      <c r="F66" s="14"/>
      <c r="G66" s="15" t="str">
        <f aca="false">IF(AND(E66="",F66=""),"",N(E66)-N(F66))</f>
        <v/>
      </c>
      <c r="H66" s="13"/>
      <c r="I66" s="13"/>
      <c r="J66" s="13"/>
      <c r="K66" s="13"/>
    </row>
    <row r="67" customFormat="false" ht="15" hidden="false" customHeight="false" outlineLevel="0" collapsed="false">
      <c r="A67" s="12" t="n">
        <v>63</v>
      </c>
      <c r="B67" s="13"/>
      <c r="C67" s="13"/>
      <c r="D67" s="13"/>
      <c r="E67" s="14"/>
      <c r="F67" s="14"/>
      <c r="G67" s="15" t="str">
        <f aca="false">IF(AND(E67="",F67=""),"",N(E67)-N(F67))</f>
        <v/>
      </c>
      <c r="H67" s="13"/>
      <c r="I67" s="13"/>
      <c r="J67" s="13"/>
      <c r="K67" s="13"/>
    </row>
    <row r="68" customFormat="false" ht="15" hidden="false" customHeight="false" outlineLevel="0" collapsed="false">
      <c r="A68" s="12" t="n">
        <v>64</v>
      </c>
      <c r="B68" s="13"/>
      <c r="C68" s="13"/>
      <c r="D68" s="13"/>
      <c r="E68" s="14"/>
      <c r="F68" s="14"/>
      <c r="G68" s="15" t="str">
        <f aca="false">IF(AND(E68="",F68=""),"",N(E68)-N(F68))</f>
        <v/>
      </c>
      <c r="H68" s="13"/>
      <c r="I68" s="13"/>
      <c r="J68" s="13"/>
      <c r="K68" s="13"/>
    </row>
    <row r="69" customFormat="false" ht="15" hidden="false" customHeight="false" outlineLevel="0" collapsed="false">
      <c r="A69" s="12" t="n">
        <v>65</v>
      </c>
      <c r="B69" s="13"/>
      <c r="C69" s="13"/>
      <c r="D69" s="13"/>
      <c r="E69" s="14"/>
      <c r="F69" s="14"/>
      <c r="G69" s="15" t="str">
        <f aca="false">IF(AND(E69="",F69=""),"",N(E69)-N(F69))</f>
        <v/>
      </c>
      <c r="H69" s="13"/>
      <c r="I69" s="13"/>
      <c r="J69" s="13"/>
      <c r="K69" s="13"/>
    </row>
    <row r="70" customFormat="false" ht="15" hidden="false" customHeight="false" outlineLevel="0" collapsed="false">
      <c r="A70" s="12" t="n">
        <v>66</v>
      </c>
      <c r="B70" s="13"/>
      <c r="C70" s="13"/>
      <c r="D70" s="13"/>
      <c r="E70" s="14"/>
      <c r="F70" s="14"/>
      <c r="G70" s="15" t="str">
        <f aca="false">IF(AND(E70="",F70=""),"",N(E70)-N(F70))</f>
        <v/>
      </c>
      <c r="H70" s="13"/>
      <c r="I70" s="13"/>
      <c r="J70" s="13"/>
      <c r="K70" s="13"/>
    </row>
    <row r="71" customFormat="false" ht="15" hidden="false" customHeight="false" outlineLevel="0" collapsed="false">
      <c r="A71" s="12" t="n">
        <v>67</v>
      </c>
      <c r="B71" s="13"/>
      <c r="C71" s="13"/>
      <c r="D71" s="13"/>
      <c r="E71" s="14"/>
      <c r="F71" s="14"/>
      <c r="G71" s="15" t="str">
        <f aca="false">IF(AND(E71="",F71=""),"",N(E71)-N(F71))</f>
        <v/>
      </c>
      <c r="H71" s="13"/>
      <c r="I71" s="13"/>
      <c r="J71" s="13"/>
      <c r="K71" s="13"/>
    </row>
    <row r="72" customFormat="false" ht="15" hidden="false" customHeight="false" outlineLevel="0" collapsed="false">
      <c r="A72" s="12" t="n">
        <v>68</v>
      </c>
      <c r="B72" s="13"/>
      <c r="C72" s="13"/>
      <c r="D72" s="13"/>
      <c r="E72" s="14"/>
      <c r="F72" s="14"/>
      <c r="G72" s="15" t="str">
        <f aca="false">IF(AND(E72="",F72=""),"",N(E72)-N(F72))</f>
        <v/>
      </c>
      <c r="H72" s="13"/>
      <c r="I72" s="13"/>
      <c r="J72" s="13"/>
      <c r="K72" s="13"/>
    </row>
    <row r="73" customFormat="false" ht="15" hidden="false" customHeight="false" outlineLevel="0" collapsed="false">
      <c r="A73" s="12" t="n">
        <v>69</v>
      </c>
      <c r="B73" s="13"/>
      <c r="C73" s="13"/>
      <c r="D73" s="13"/>
      <c r="E73" s="14"/>
      <c r="F73" s="14"/>
      <c r="G73" s="15" t="str">
        <f aca="false">IF(AND(E73="",F73=""),"",N(E73)-N(F73))</f>
        <v/>
      </c>
      <c r="H73" s="13"/>
      <c r="I73" s="13"/>
      <c r="J73" s="13"/>
      <c r="K73" s="13"/>
    </row>
    <row r="74" customFormat="false" ht="15" hidden="false" customHeight="false" outlineLevel="0" collapsed="false">
      <c r="A74" s="12" t="n">
        <v>70</v>
      </c>
      <c r="B74" s="13"/>
      <c r="C74" s="13"/>
      <c r="D74" s="13"/>
      <c r="E74" s="14"/>
      <c r="F74" s="14"/>
      <c r="G74" s="15" t="str">
        <f aca="false">IF(AND(E74="",F74=""),"",N(E74)-N(F74))</f>
        <v/>
      </c>
      <c r="H74" s="13"/>
      <c r="I74" s="13"/>
      <c r="J74" s="13"/>
      <c r="K74" s="13"/>
    </row>
    <row r="75" customFormat="false" ht="15" hidden="false" customHeight="false" outlineLevel="0" collapsed="false">
      <c r="A75" s="12" t="n">
        <v>71</v>
      </c>
      <c r="B75" s="13"/>
      <c r="C75" s="13"/>
      <c r="D75" s="13"/>
      <c r="E75" s="14"/>
      <c r="F75" s="14"/>
      <c r="G75" s="15" t="str">
        <f aca="false">IF(AND(E75="",F75=""),"",N(E75)-N(F75))</f>
        <v/>
      </c>
      <c r="H75" s="13"/>
      <c r="I75" s="13"/>
      <c r="J75" s="13"/>
      <c r="K75" s="13"/>
    </row>
    <row r="76" customFormat="false" ht="15" hidden="false" customHeight="false" outlineLevel="0" collapsed="false">
      <c r="A76" s="12" t="n">
        <v>72</v>
      </c>
      <c r="B76" s="13"/>
      <c r="C76" s="13"/>
      <c r="D76" s="13"/>
      <c r="E76" s="14"/>
      <c r="F76" s="14"/>
      <c r="G76" s="15" t="str">
        <f aca="false">IF(AND(E76="",F76=""),"",N(E76)-N(F76))</f>
        <v/>
      </c>
      <c r="H76" s="13"/>
      <c r="I76" s="13"/>
      <c r="J76" s="13"/>
      <c r="K76" s="13"/>
    </row>
    <row r="77" customFormat="false" ht="15" hidden="false" customHeight="false" outlineLevel="0" collapsed="false">
      <c r="A77" s="12" t="n">
        <v>73</v>
      </c>
      <c r="B77" s="13"/>
      <c r="C77" s="13"/>
      <c r="D77" s="13"/>
      <c r="E77" s="14"/>
      <c r="F77" s="14"/>
      <c r="G77" s="15" t="str">
        <f aca="false">IF(AND(E77="",F77=""),"",N(E77)-N(F77))</f>
        <v/>
      </c>
      <c r="H77" s="13"/>
      <c r="I77" s="13"/>
      <c r="J77" s="13"/>
      <c r="K77" s="13"/>
    </row>
    <row r="78" customFormat="false" ht="15" hidden="false" customHeight="false" outlineLevel="0" collapsed="false">
      <c r="A78" s="12" t="n">
        <v>74</v>
      </c>
      <c r="B78" s="13"/>
      <c r="C78" s="13"/>
      <c r="D78" s="13"/>
      <c r="E78" s="14"/>
      <c r="F78" s="14"/>
      <c r="G78" s="15" t="str">
        <f aca="false">IF(AND(E78="",F78=""),"",N(E78)-N(F78))</f>
        <v/>
      </c>
      <c r="H78" s="13"/>
      <c r="I78" s="13"/>
      <c r="J78" s="13"/>
      <c r="K78" s="13"/>
    </row>
    <row r="79" customFormat="false" ht="15" hidden="false" customHeight="false" outlineLevel="0" collapsed="false">
      <c r="A79" s="12" t="n">
        <v>75</v>
      </c>
      <c r="B79" s="13"/>
      <c r="C79" s="13"/>
      <c r="D79" s="13"/>
      <c r="E79" s="14"/>
      <c r="F79" s="14"/>
      <c r="G79" s="15" t="str">
        <f aca="false">IF(AND(E79="",F79=""),"",N(E79)-N(F79))</f>
        <v/>
      </c>
      <c r="H79" s="13"/>
      <c r="I79" s="13"/>
      <c r="J79" s="13"/>
      <c r="K79" s="13"/>
    </row>
    <row r="80" customFormat="false" ht="15" hidden="false" customHeight="false" outlineLevel="0" collapsed="false">
      <c r="A80" s="12" t="n">
        <v>76</v>
      </c>
      <c r="B80" s="13"/>
      <c r="C80" s="13"/>
      <c r="D80" s="13"/>
      <c r="E80" s="14"/>
      <c r="F80" s="14"/>
      <c r="G80" s="15" t="str">
        <f aca="false">IF(AND(E80="",F80=""),"",N(E80)-N(F80))</f>
        <v/>
      </c>
      <c r="H80" s="13"/>
      <c r="I80" s="13"/>
      <c r="J80" s="13"/>
      <c r="K80" s="13"/>
    </row>
    <row r="81" customFormat="false" ht="15" hidden="false" customHeight="false" outlineLevel="0" collapsed="false">
      <c r="A81" s="12" t="n">
        <v>77</v>
      </c>
      <c r="B81" s="13"/>
      <c r="C81" s="13"/>
      <c r="D81" s="13"/>
      <c r="E81" s="14"/>
      <c r="F81" s="14"/>
      <c r="G81" s="15" t="str">
        <f aca="false">IF(AND(E81="",F81=""),"",N(E81)-N(F81))</f>
        <v/>
      </c>
      <c r="H81" s="13"/>
      <c r="I81" s="13"/>
      <c r="J81" s="13"/>
      <c r="K81" s="13"/>
    </row>
    <row r="82" customFormat="false" ht="15" hidden="false" customHeight="false" outlineLevel="0" collapsed="false">
      <c r="A82" s="12" t="n">
        <v>78</v>
      </c>
      <c r="B82" s="13"/>
      <c r="C82" s="13"/>
      <c r="D82" s="13"/>
      <c r="E82" s="14"/>
      <c r="F82" s="14"/>
      <c r="G82" s="15" t="str">
        <f aca="false">IF(AND(E82="",F82=""),"",N(E82)-N(F82))</f>
        <v/>
      </c>
      <c r="H82" s="13"/>
      <c r="I82" s="13"/>
      <c r="J82" s="13"/>
      <c r="K82" s="13"/>
    </row>
    <row r="83" customFormat="false" ht="15" hidden="false" customHeight="false" outlineLevel="0" collapsed="false">
      <c r="A83" s="12" t="n">
        <v>79</v>
      </c>
      <c r="B83" s="13"/>
      <c r="C83" s="13"/>
      <c r="D83" s="13"/>
      <c r="E83" s="14"/>
      <c r="F83" s="14"/>
      <c r="G83" s="15" t="str">
        <f aca="false">IF(AND(E83="",F83=""),"",N(E83)-N(F83))</f>
        <v/>
      </c>
      <c r="H83" s="13"/>
      <c r="I83" s="13"/>
      <c r="J83" s="13"/>
      <c r="K83" s="13"/>
    </row>
    <row r="84" customFormat="false" ht="15" hidden="false" customHeight="false" outlineLevel="0" collapsed="false">
      <c r="A84" s="12" t="n">
        <v>80</v>
      </c>
      <c r="B84" s="13"/>
      <c r="C84" s="13"/>
      <c r="D84" s="13"/>
      <c r="E84" s="14"/>
      <c r="F84" s="14"/>
      <c r="G84" s="15" t="str">
        <f aca="false">IF(AND(E84="",F84=""),"",N(E84)-N(F84))</f>
        <v/>
      </c>
      <c r="H84" s="13"/>
      <c r="I84" s="13"/>
      <c r="J84" s="13"/>
      <c r="K84" s="13"/>
    </row>
    <row r="85" customFormat="false" ht="15" hidden="false" customHeight="false" outlineLevel="0" collapsed="false">
      <c r="A85" s="16"/>
      <c r="B85" s="16" t="s">
        <v>37</v>
      </c>
      <c r="C85" s="16" t="n">
        <f aca="false">COUNTA(B5:B84)</f>
        <v>0</v>
      </c>
      <c r="D85" s="16" t="s">
        <v>38</v>
      </c>
      <c r="E85" s="17" t="n">
        <f aca="false">SUM(E5:E84)</f>
        <v>0</v>
      </c>
      <c r="F85" s="17" t="n">
        <f aca="false">SUM(F5:F84)</f>
        <v>0</v>
      </c>
      <c r="G85" s="17" t="n">
        <f aca="false">SUM(G5:G84)</f>
        <v>0</v>
      </c>
      <c r="H85" s="16"/>
      <c r="I85" s="16"/>
      <c r="J85" s="16"/>
      <c r="K85" s="16"/>
    </row>
    <row r="87" customFormat="false" ht="15" hidden="false" customHeight="false" outlineLevel="0" collapsed="false">
      <c r="B87" s="18" t="s">
        <v>39</v>
      </c>
      <c r="E87" s="19" t="n">
        <f aca="false">SUMIF(H5:H84,"Cash",F5:F84)</f>
        <v>0</v>
      </c>
    </row>
    <row r="88" customFormat="false" ht="15" hidden="false" customHeight="false" outlineLevel="0" collapsed="false">
      <c r="B88" s="18" t="s">
        <v>40</v>
      </c>
      <c r="E88" s="19" t="n">
        <f aca="false">SUMIF(H5:H84,"Card",F5:F84)</f>
        <v>0</v>
      </c>
    </row>
    <row r="89" customFormat="false" ht="15" hidden="false" customHeight="false" outlineLevel="0" collapsed="false">
      <c r="B89" s="18" t="s">
        <v>41</v>
      </c>
      <c r="E89" s="19" t="n">
        <f aca="false">SUMIF(H5:H84,"Transfer",F5:F84)</f>
        <v>0</v>
      </c>
    </row>
    <row r="90" customFormat="false" ht="15" hidden="false" customHeight="false" outlineLevel="0" collapsed="false">
      <c r="B90" s="18" t="s">
        <v>42</v>
      </c>
      <c r="E90" s="19" t="n">
        <f aca="false">SUMIF(H5:H84,"CRY page",F5:F84)</f>
        <v>0</v>
      </c>
    </row>
    <row r="91" customFormat="false" ht="15" hidden="false" customHeight="false" outlineLevel="0" collapsed="false">
      <c r="B91" s="18" t="s">
        <v>43</v>
      </c>
      <c r="E91" s="19" t="n">
        <f aca="false">SUMIF(J5:J84,"Y",F5:F84)</f>
        <v>0</v>
      </c>
    </row>
    <row r="93" customFormat="false" ht="15" hidden="false" customHeight="false" outlineLevel="0" collapsed="false">
      <c r="B93" s="20" t="s">
        <v>44</v>
      </c>
    </row>
  </sheetData>
  <mergeCells count="2">
    <mergeCell ref="A1:J1"/>
    <mergeCell ref="A2:J2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&amp;CAldanat Care FC Match Predictor</oddHead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</row>
    <row r="2" customFormat="false" ht="15" hidden="false" customHeight="false" outlineLevel="0" collapsed="false">
      <c r="A2" s="2" t="s">
        <v>46</v>
      </c>
      <c r="B2" s="2"/>
      <c r="C2" s="2"/>
      <c r="D2" s="2"/>
    </row>
    <row r="4" customFormat="false" ht="30" hidden="false" customHeight="true" outlineLevel="0" collapsed="false">
      <c r="A4" s="9" t="s">
        <v>47</v>
      </c>
      <c r="B4" s="9" t="s">
        <v>48</v>
      </c>
      <c r="C4" s="9" t="s">
        <v>49</v>
      </c>
      <c r="D4" s="9" t="s">
        <v>36</v>
      </c>
    </row>
    <row r="5" customFormat="false" ht="15" hidden="false" customHeight="false" outlineLevel="0" collapsed="false">
      <c r="A5" s="12" t="s">
        <v>50</v>
      </c>
      <c r="B5" s="21"/>
      <c r="C5" s="22" t="n">
        <f aca="false">50*N(B5)</f>
        <v>0</v>
      </c>
      <c r="D5" s="23"/>
    </row>
    <row r="6" customFormat="false" ht="15" hidden="false" customHeight="false" outlineLevel="0" collapsed="false">
      <c r="A6" s="12" t="s">
        <v>51</v>
      </c>
      <c r="B6" s="21"/>
      <c r="C6" s="22" t="n">
        <f aca="false">20*N(B6)</f>
        <v>0</v>
      </c>
      <c r="D6" s="23"/>
    </row>
    <row r="7" customFormat="false" ht="15" hidden="false" customHeight="false" outlineLevel="0" collapsed="false">
      <c r="A7" s="12" t="s">
        <v>52</v>
      </c>
      <c r="B7" s="21"/>
      <c r="C7" s="22" t="n">
        <f aca="false">10*N(B7)</f>
        <v>0</v>
      </c>
      <c r="D7" s="23"/>
    </row>
    <row r="8" customFormat="false" ht="15" hidden="false" customHeight="false" outlineLevel="0" collapsed="false">
      <c r="A8" s="12" t="s">
        <v>53</v>
      </c>
      <c r="B8" s="21"/>
      <c r="C8" s="22" t="n">
        <f aca="false">5*N(B8)</f>
        <v>0</v>
      </c>
      <c r="D8" s="23"/>
    </row>
    <row r="9" customFormat="false" ht="15" hidden="false" customHeight="false" outlineLevel="0" collapsed="false">
      <c r="A9" s="12" t="s">
        <v>54</v>
      </c>
      <c r="B9" s="21"/>
      <c r="C9" s="22" t="n">
        <f aca="false">2*N(B9)</f>
        <v>0</v>
      </c>
      <c r="D9" s="23"/>
    </row>
    <row r="10" customFormat="false" ht="15" hidden="false" customHeight="false" outlineLevel="0" collapsed="false">
      <c r="A10" s="12" t="s">
        <v>55</v>
      </c>
      <c r="B10" s="21"/>
      <c r="C10" s="22" t="n">
        <f aca="false">1*N(B10)</f>
        <v>0</v>
      </c>
      <c r="D10" s="23"/>
    </row>
    <row r="11" customFormat="false" ht="15" hidden="false" customHeight="false" outlineLevel="0" collapsed="false">
      <c r="A11" s="12" t="s">
        <v>56</v>
      </c>
      <c r="B11" s="21"/>
      <c r="C11" s="22" t="n">
        <f aca="false">0.5*N(B11)</f>
        <v>0</v>
      </c>
      <c r="D11" s="23"/>
    </row>
    <row r="12" customFormat="false" ht="15" hidden="false" customHeight="false" outlineLevel="0" collapsed="false">
      <c r="A12" s="12" t="s">
        <v>57</v>
      </c>
      <c r="B12" s="21"/>
      <c r="C12" s="22" t="n">
        <f aca="false">0.2*N(B12)</f>
        <v>0</v>
      </c>
      <c r="D12" s="23"/>
    </row>
    <row r="13" customFormat="false" ht="15" hidden="false" customHeight="false" outlineLevel="0" collapsed="false">
      <c r="A13" s="12" t="s">
        <v>58</v>
      </c>
      <c r="B13" s="21"/>
      <c r="C13" s="22" t="n">
        <f aca="false">0.1*N(B13)</f>
        <v>0</v>
      </c>
      <c r="D13" s="23"/>
    </row>
    <row r="14" customFormat="false" ht="15" hidden="false" customHeight="false" outlineLevel="0" collapsed="false">
      <c r="A14" s="12" t="s">
        <v>59</v>
      </c>
      <c r="B14" s="21"/>
      <c r="C14" s="22" t="n">
        <f aca="false">0.05*N(B14)</f>
        <v>0</v>
      </c>
      <c r="D14" s="23"/>
    </row>
    <row r="15" customFormat="false" ht="15" hidden="false" customHeight="false" outlineLevel="0" collapsed="false">
      <c r="A15" s="12" t="s">
        <v>60</v>
      </c>
      <c r="B15" s="21"/>
      <c r="C15" s="22" t="n">
        <f aca="false">0.02*N(B15)</f>
        <v>0</v>
      </c>
      <c r="D15" s="23"/>
    </row>
    <row r="16" customFormat="false" ht="15" hidden="false" customHeight="false" outlineLevel="0" collapsed="false">
      <c r="A16" s="12" t="s">
        <v>61</v>
      </c>
      <c r="B16" s="21"/>
      <c r="C16" s="22" t="n">
        <f aca="false">0.01*N(B16)</f>
        <v>0</v>
      </c>
      <c r="D16" s="23"/>
    </row>
    <row r="17" customFormat="false" ht="15" hidden="false" customHeight="false" outlineLevel="0" collapsed="false">
      <c r="A17" s="16" t="s">
        <v>62</v>
      </c>
      <c r="B17" s="16"/>
      <c r="C17" s="17" t="n">
        <f aca="false">SUM(C5:C16)</f>
        <v>0</v>
      </c>
      <c r="D17" s="16"/>
    </row>
    <row r="19" customFormat="false" ht="15" hidden="false" customHeight="false" outlineLevel="0" collapsed="false">
      <c r="A19" s="18" t="s">
        <v>63</v>
      </c>
      <c r="B19" s="24"/>
      <c r="C19" s="24"/>
    </row>
    <row r="20" customFormat="false" ht="15" hidden="false" customHeight="false" outlineLevel="0" collapsed="false">
      <c r="A20" s="18" t="s">
        <v>64</v>
      </c>
      <c r="B20" s="24"/>
      <c r="C20" s="24"/>
    </row>
    <row r="21" customFormat="false" ht="15" hidden="false" customHeight="false" outlineLevel="0" collapsed="false">
      <c r="A21" s="18" t="s">
        <v>65</v>
      </c>
      <c r="B21" s="24"/>
      <c r="C21" s="24"/>
    </row>
    <row r="23" customFormat="false" ht="15" hidden="false" customHeight="false" outlineLevel="0" collapsed="false">
      <c r="A23" s="20" t="s">
        <v>66</v>
      </c>
    </row>
  </sheetData>
  <mergeCells count="5">
    <mergeCell ref="A1:D1"/>
    <mergeCell ref="A2:D2"/>
    <mergeCell ref="B19:C19"/>
    <mergeCell ref="B20:C20"/>
    <mergeCell ref="B21:C21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&amp;CAldanat Care FC Match Predictor</oddHeader>
    <oddFooter>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67</v>
      </c>
      <c r="B1" s="1"/>
      <c r="C1" s="1"/>
      <c r="D1" s="1"/>
    </row>
    <row r="2" customFormat="false" ht="15" hidden="false" customHeight="false" outlineLevel="0" collapsed="false">
      <c r="A2" s="2" t="s">
        <v>68</v>
      </c>
      <c r="B2" s="2"/>
      <c r="C2" s="2"/>
      <c r="D2" s="2"/>
    </row>
    <row r="4" customFormat="false" ht="30" hidden="false" customHeight="true" outlineLevel="0" collapsed="false">
      <c r="A4" s="9" t="s">
        <v>69</v>
      </c>
      <c r="B4" s="9" t="s">
        <v>70</v>
      </c>
      <c r="C4" s="9" t="s">
        <v>71</v>
      </c>
      <c r="D4" s="9" t="s">
        <v>72</v>
      </c>
    </row>
    <row r="5" customFormat="false" ht="15" hidden="false" customHeight="false" outlineLevel="0" collapsed="false">
      <c r="A5" s="12" t="s">
        <v>73</v>
      </c>
      <c r="B5" s="25" t="n">
        <f aca="false">'Pledge Log'!E85</f>
        <v>0</v>
      </c>
      <c r="C5" s="23"/>
      <c r="D5" s="26"/>
    </row>
    <row r="6" customFormat="false" ht="15" hidden="false" customHeight="false" outlineLevel="0" collapsed="false">
      <c r="A6" s="12" t="s">
        <v>74</v>
      </c>
      <c r="B6" s="25" t="n">
        <f aca="false">'Pledge Log'!F85</f>
        <v>0</v>
      </c>
      <c r="C6" s="23"/>
      <c r="D6" s="26"/>
    </row>
    <row r="7" customFormat="false" ht="15" hidden="false" customHeight="false" outlineLevel="0" collapsed="false">
      <c r="A7" s="12" t="s">
        <v>75</v>
      </c>
      <c r="B7" s="25" t="n">
        <f aca="false">'Pledge Log'!G85</f>
        <v>0</v>
      </c>
      <c r="C7" s="23"/>
      <c r="D7" s="26"/>
    </row>
    <row r="8" customFormat="false" ht="15" hidden="false" customHeight="false" outlineLevel="0" collapsed="false">
      <c r="A8" s="12" t="s">
        <v>76</v>
      </c>
      <c r="B8" s="25" t="n">
        <f aca="false">'Pledge Log'!E87</f>
        <v>0</v>
      </c>
      <c r="C8" s="23"/>
      <c r="D8" s="26"/>
    </row>
    <row r="9" customFormat="false" ht="22.35" hidden="false" customHeight="false" outlineLevel="0" collapsed="false">
      <c r="A9" s="12" t="s">
        <v>77</v>
      </c>
      <c r="B9" s="25" t="n">
        <f aca="false">'Cash Count'!C17</f>
        <v>0</v>
      </c>
      <c r="C9" s="27" t="str">
        <f aca="false">IF(ROUND(B9-B8,2)=0,"OK","CHECK "&amp;TEXT(B9-B8,"0.00"))</f>
        <v>OK</v>
      </c>
      <c r="D9" s="26" t="s">
        <v>78</v>
      </c>
    </row>
    <row r="10" customFormat="false" ht="15" hidden="false" customHeight="false" outlineLevel="0" collapsed="false">
      <c r="A10" s="12" t="s">
        <v>79</v>
      </c>
      <c r="B10" s="25" t="n">
        <f aca="false">'Pledge Log'!E88</f>
        <v>0</v>
      </c>
      <c r="C10" s="23"/>
      <c r="D10" s="26"/>
    </row>
    <row r="11" customFormat="false" ht="22.35" hidden="false" customHeight="false" outlineLevel="0" collapsed="false">
      <c r="A11" s="12" t="s">
        <v>80</v>
      </c>
      <c r="B11" s="28" t="n">
        <v>0</v>
      </c>
      <c r="C11" s="27" t="str">
        <f aca="false">IF(ROUND(B11-B10,2)=0,"OK","CHECK "&amp;TEXT(B11-B10,"0.00"))</f>
        <v>OK</v>
      </c>
      <c r="D11" s="26" t="s">
        <v>81</v>
      </c>
    </row>
    <row r="12" customFormat="false" ht="15" hidden="false" customHeight="false" outlineLevel="0" collapsed="false">
      <c r="A12" s="12" t="s">
        <v>82</v>
      </c>
      <c r="B12" s="25" t="n">
        <f aca="false">'Pledge Log'!E89</f>
        <v>0</v>
      </c>
      <c r="C12" s="23"/>
      <c r="D12" s="26"/>
    </row>
    <row r="13" customFormat="false" ht="15" hidden="false" customHeight="false" outlineLevel="0" collapsed="false">
      <c r="A13" s="12" t="s">
        <v>83</v>
      </c>
      <c r="B13" s="28" t="n">
        <v>0</v>
      </c>
      <c r="C13" s="27" t="str">
        <f aca="false">IF(ROUND(B13-B12,2)=0,"OK","CHECK "&amp;TEXT(B13-B12,"0.00"))</f>
        <v>OK</v>
      </c>
      <c r="D13" s="26" t="s">
        <v>84</v>
      </c>
    </row>
    <row r="14" customFormat="false" ht="15" hidden="false" customHeight="false" outlineLevel="0" collapsed="false">
      <c r="A14" s="12" t="s">
        <v>85</v>
      </c>
      <c r="B14" s="25" t="n">
        <f aca="false">'Pledge Log'!E90</f>
        <v>0</v>
      </c>
      <c r="C14" s="23"/>
      <c r="D14" s="26"/>
    </row>
    <row r="15" customFormat="false" ht="22.35" hidden="false" customHeight="false" outlineLevel="0" collapsed="false">
      <c r="A15" s="12" t="s">
        <v>86</v>
      </c>
      <c r="B15" s="28" t="n">
        <v>0</v>
      </c>
      <c r="C15" s="27" t="str">
        <f aca="false">IF(ROUND(B15-B14,2)=0,"OK","CHECK "&amp;TEXT(B15-B14,"0.00"))</f>
        <v>OK</v>
      </c>
      <c r="D15" s="26" t="s">
        <v>87</v>
      </c>
    </row>
    <row r="16" customFormat="false" ht="15" hidden="false" customHeight="false" outlineLevel="0" collapsed="false">
      <c r="D16" s="29"/>
    </row>
    <row r="17" customFormat="false" ht="22.35" hidden="false" customHeight="false" outlineLevel="0" collapsed="false">
      <c r="A17" s="30" t="s">
        <v>88</v>
      </c>
      <c r="B17" s="31" t="n">
        <f aca="false">B9+B11+B13</f>
        <v>0</v>
      </c>
      <c r="C17" s="32" t="str">
        <f aca="false">IF(ROUND(B17-(B6-B14),2)=0,"OK","CHECK "&amp;TEXT(B17-(B6-B14),"0.00"))</f>
        <v>OK</v>
      </c>
      <c r="D17" s="33" t="s">
        <v>89</v>
      </c>
    </row>
    <row r="18" customFormat="false" ht="15" hidden="false" customHeight="false" outlineLevel="0" collapsed="false">
      <c r="D18" s="29"/>
    </row>
    <row r="19" customFormat="false" ht="22.35" hidden="false" customHeight="false" outlineLevel="0" collapsed="false">
      <c r="A19" s="12" t="s">
        <v>90</v>
      </c>
      <c r="B19" s="28" t="n">
        <v>0</v>
      </c>
      <c r="C19" s="27" t="str">
        <f aca="false">IF(ROUND(B19-B17,2)=0,"OK","CHECK "&amp;TEXT(B19-B17,"0.00"))</f>
        <v>OK</v>
      </c>
      <c r="D19" s="26" t="s">
        <v>91</v>
      </c>
    </row>
    <row r="20" customFormat="false" ht="15" hidden="false" customHeight="false" outlineLevel="0" collapsed="false">
      <c r="A20" s="12" t="s">
        <v>92</v>
      </c>
      <c r="B20" s="34" t="n">
        <f aca="false">Remittance!C9</f>
        <v>0</v>
      </c>
      <c r="C20" s="27" t="str">
        <f aca="false">IF(ROUND(B20-B19,2)=0,"OK","CHECK "&amp;TEXT(B20-B19,"0.00"))</f>
        <v>OK</v>
      </c>
      <c r="D20" s="26" t="s">
        <v>93</v>
      </c>
    </row>
    <row r="21" customFormat="false" ht="15" hidden="false" customHeight="false" outlineLevel="0" collapsed="false">
      <c r="D21" s="29"/>
    </row>
    <row r="22" customFormat="false" ht="22.35" hidden="false" customHeight="false" outlineLevel="0" collapsed="false">
      <c r="A22" s="16" t="s">
        <v>94</v>
      </c>
      <c r="B22" s="35" t="n">
        <f aca="false">B20+B15</f>
        <v>0</v>
      </c>
      <c r="C22" s="36"/>
      <c r="D22" s="37" t="s">
        <v>95</v>
      </c>
    </row>
    <row r="23" customFormat="false" ht="22.35" hidden="false" customHeight="false" outlineLevel="0" collapsed="false">
      <c r="A23" s="12" t="s">
        <v>96</v>
      </c>
      <c r="B23" s="25" t="n">
        <f aca="false">'Pledge Log'!E91</f>
        <v>0</v>
      </c>
      <c r="C23" s="23"/>
      <c r="D23" s="26" t="s">
        <v>97</v>
      </c>
    </row>
    <row r="25" customFormat="false" ht="15" hidden="false" customHeight="false" outlineLevel="0" collapsed="false">
      <c r="A25" s="18" t="s">
        <v>98</v>
      </c>
      <c r="B25" s="24"/>
      <c r="C25" s="24"/>
    </row>
    <row r="26" customFormat="false" ht="15" hidden="false" customHeight="false" outlineLevel="0" collapsed="false">
      <c r="A26" s="18" t="s">
        <v>99</v>
      </c>
      <c r="B26" s="24"/>
      <c r="C26" s="24"/>
    </row>
    <row r="27" customFormat="false" ht="15" hidden="false" customHeight="false" outlineLevel="0" collapsed="false">
      <c r="A27" s="18" t="s">
        <v>100</v>
      </c>
      <c r="B27" s="24"/>
      <c r="C27" s="24"/>
    </row>
  </sheetData>
  <mergeCells count="5">
    <mergeCell ref="A1:D1"/>
    <mergeCell ref="A2:D2"/>
    <mergeCell ref="B25:C25"/>
    <mergeCell ref="B26:C26"/>
    <mergeCell ref="B27:C27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&amp;CAldanat Care FC Match Predictor</oddHeader>
    <oddFooter>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101</v>
      </c>
      <c r="B1" s="1"/>
      <c r="C1" s="1"/>
    </row>
    <row r="2" customFormat="false" ht="15" hidden="false" customHeight="false" outlineLevel="0" collapsed="false">
      <c r="A2" s="2" t="s">
        <v>102</v>
      </c>
      <c r="B2" s="2"/>
      <c r="C2" s="2"/>
    </row>
    <row r="5" customFormat="false" ht="15" hidden="false" customHeight="false" outlineLevel="0" collapsed="false">
      <c r="A5" s="18" t="s">
        <v>103</v>
      </c>
      <c r="C5" s="21" t="s">
        <v>104</v>
      </c>
    </row>
    <row r="6" customFormat="false" ht="15" hidden="false" customHeight="false" outlineLevel="0" collapsed="false">
      <c r="A6" s="18" t="s">
        <v>105</v>
      </c>
      <c r="C6" s="21" t="s">
        <v>106</v>
      </c>
    </row>
    <row r="7" customFormat="false" ht="15" hidden="false" customHeight="false" outlineLevel="0" collapsed="false">
      <c r="A7" s="18" t="s">
        <v>107</v>
      </c>
      <c r="C7" s="21" t="s">
        <v>108</v>
      </c>
    </row>
    <row r="8" customFormat="false" ht="15" hidden="false" customHeight="false" outlineLevel="0" collapsed="false">
      <c r="A8" s="18" t="s">
        <v>109</v>
      </c>
      <c r="C8" s="21" t="s">
        <v>110</v>
      </c>
    </row>
    <row r="9" customFormat="false" ht="15" hidden="false" customHeight="false" outlineLevel="0" collapsed="false">
      <c r="A9" s="18" t="s">
        <v>111</v>
      </c>
      <c r="C9" s="28" t="n">
        <v>0</v>
      </c>
    </row>
    <row r="10" customFormat="false" ht="15" hidden="false" customHeight="false" outlineLevel="0" collapsed="false">
      <c r="A10" s="18" t="s">
        <v>112</v>
      </c>
      <c r="C10" s="21"/>
    </row>
    <row r="11" customFormat="false" ht="15" hidden="false" customHeight="false" outlineLevel="0" collapsed="false">
      <c r="A11" s="18" t="s">
        <v>113</v>
      </c>
      <c r="C11" s="21"/>
    </row>
    <row r="12" customFormat="false" ht="15" hidden="false" customHeight="false" outlineLevel="0" collapsed="false">
      <c r="A12" s="18" t="s">
        <v>114</v>
      </c>
      <c r="C12" s="21"/>
    </row>
    <row r="13" customFormat="false" ht="15" hidden="false" customHeight="false" outlineLevel="0" collapsed="false">
      <c r="A13" s="18" t="s">
        <v>115</v>
      </c>
      <c r="C13" s="21"/>
    </row>
    <row r="14" customFormat="false" ht="15" hidden="false" customHeight="false" outlineLevel="0" collapsed="false">
      <c r="A14" s="18" t="s">
        <v>116</v>
      </c>
      <c r="C14" s="21"/>
    </row>
    <row r="15" customFormat="false" ht="15" hidden="false" customHeight="false" outlineLevel="0" collapsed="false">
      <c r="A15" s="18" t="s">
        <v>117</v>
      </c>
      <c r="C15" s="21"/>
    </row>
    <row r="17" customFormat="false" ht="15" hidden="false" customHeight="false" outlineLevel="0" collapsed="false">
      <c r="A17" s="20" t="s">
        <v>118</v>
      </c>
    </row>
    <row r="18" customFormat="false" ht="15" hidden="false" customHeight="false" outlineLevel="0" collapsed="false">
      <c r="A18" s="20" t="s">
        <v>119</v>
      </c>
    </row>
  </sheetData>
  <mergeCells count="2">
    <mergeCell ref="A1:C1"/>
    <mergeCell ref="A2:C2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&amp;CAldanat Care FC Match Predictor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2026-08-22T08:51:48Z</dcterms:created>
  <dc:creator>openpyxl</dc:creator>
  <dc:description/>
  <dc:language>en-US</dc:language>
  <cp:lastModifiedBy/>
  <dcterms:modified xsi:type="dcterms:W3CDTF">2026-08-22T08:51:48Z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